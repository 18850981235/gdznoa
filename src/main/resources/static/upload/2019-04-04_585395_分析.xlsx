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315" windowHeight="78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11" i="1" l="1"/>
  <c r="H12" i="1" s="1"/>
  <c r="H14" i="1" s="1"/>
  <c r="H15" i="1" s="1"/>
  <c r="H16" i="1" s="1"/>
  <c r="H17" i="1" s="1"/>
  <c r="G11" i="1"/>
  <c r="G12" i="1" s="1"/>
  <c r="F11" i="1"/>
  <c r="F12" i="1" s="1"/>
  <c r="F14" i="1" s="1"/>
  <c r="F15" i="1" s="1"/>
  <c r="F16" i="1" s="1"/>
  <c r="F17" i="1" s="1"/>
  <c r="E11" i="1"/>
  <c r="E12" i="1" s="1"/>
  <c r="E14" i="1" s="1"/>
  <c r="E15" i="1" s="1"/>
  <c r="E16" i="1" s="1"/>
  <c r="E17" i="1" s="1"/>
  <c r="G14" i="1" l="1"/>
  <c r="G15" i="1" s="1"/>
  <c r="G16" i="1" s="1"/>
  <c r="G17" i="1" s="1"/>
</calcChain>
</file>

<file path=xl/sharedStrings.xml><?xml version="1.0" encoding="utf-8"?>
<sst xmlns="http://schemas.openxmlformats.org/spreadsheetml/2006/main" count="16" uniqueCount="13">
  <si>
    <t>F</t>
    <phoneticPr fontId="1" type="noConversion"/>
  </si>
  <si>
    <t xml:space="preserve">N </t>
    <phoneticPr fontId="1" type="noConversion"/>
  </si>
  <si>
    <t xml:space="preserve">M </t>
    <phoneticPr fontId="1" type="noConversion"/>
  </si>
  <si>
    <t>M-N</t>
    <phoneticPr fontId="1" type="noConversion"/>
  </si>
  <si>
    <t>*E</t>
    <phoneticPr fontId="1" type="noConversion"/>
  </si>
  <si>
    <t>（极限高）1</t>
    <phoneticPr fontId="1" type="noConversion"/>
  </si>
  <si>
    <t>（极限低）3</t>
    <phoneticPr fontId="1" type="noConversion"/>
  </si>
  <si>
    <t>（极限高向低走）2</t>
    <phoneticPr fontId="1" type="noConversion"/>
  </si>
  <si>
    <t>（极限低向高走）4</t>
    <phoneticPr fontId="1" type="noConversion"/>
  </si>
  <si>
    <t>我方拟报价</t>
    <phoneticPr fontId="1" type="noConversion"/>
  </si>
  <si>
    <t>对方模拟报价</t>
    <phoneticPr fontId="1" type="noConversion"/>
  </si>
  <si>
    <t>均值</t>
    <phoneticPr fontId="1" type="noConversion"/>
  </si>
  <si>
    <t>我方得分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</si>
</sst>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17"/>
  <sheetViews>
    <sheetView tabSelected="1" zoomScale="140" zoomScaleNormal="140" workbookViewId="0">
      <selection activeCell="E19" sqref="E19"/>
    </sheetView>
  </sheetViews>
  <sheetFormatPr defaultRowHeight="13.5" x14ac:dyDescent="0.15"/>
  <cols>
    <col min="3" max="3" width="14.5" customWidth="1"/>
    <col min="5" max="5" width="10.75" customWidth="1"/>
    <col min="6" max="6" width="17.25" customWidth="1"/>
    <col min="7" max="7" width="12.625" customWidth="1"/>
    <col min="8" max="8" width="16.75" customWidth="1"/>
    <col min="9" max="9" width="14.25" customWidth="1"/>
  </cols>
  <sheetData>
    <row r="4" spans="3:8" x14ac:dyDescent="0.15">
      <c r="C4" s="1"/>
      <c r="D4" s="1"/>
      <c r="E4" s="1" t="s">
        <v>5</v>
      </c>
      <c r="F4" s="1" t="s">
        <v>7</v>
      </c>
      <c r="G4" s="1" t="s">
        <v>6</v>
      </c>
      <c r="H4" s="1" t="s">
        <v>8</v>
      </c>
    </row>
    <row r="5" spans="3:8" x14ac:dyDescent="0.15">
      <c r="C5" s="1"/>
      <c r="D5" s="1"/>
      <c r="E5" s="1"/>
      <c r="F5" s="1"/>
      <c r="G5" s="1"/>
      <c r="H5" s="1"/>
    </row>
    <row r="6" spans="3:8" x14ac:dyDescent="0.15">
      <c r="C6" s="1" t="s">
        <v>10</v>
      </c>
      <c r="D6" s="1"/>
      <c r="E6" s="1">
        <v>696</v>
      </c>
      <c r="F6" s="1">
        <v>696</v>
      </c>
      <c r="G6" s="1">
        <v>674</v>
      </c>
      <c r="H6" s="1">
        <v>674</v>
      </c>
    </row>
    <row r="7" spans="3:8" x14ac:dyDescent="0.15">
      <c r="C7" s="1" t="s">
        <v>10</v>
      </c>
      <c r="D7" s="1"/>
      <c r="E7" s="1">
        <v>696</v>
      </c>
      <c r="F7" s="1">
        <v>690</v>
      </c>
      <c r="G7" s="1">
        <v>674</v>
      </c>
      <c r="H7" s="1">
        <v>680</v>
      </c>
    </row>
    <row r="8" spans="3:8" x14ac:dyDescent="0.15">
      <c r="C8" s="1" t="s">
        <v>10</v>
      </c>
      <c r="D8" s="1"/>
      <c r="E8" s="1">
        <v>696</v>
      </c>
      <c r="F8" s="1">
        <v>685</v>
      </c>
      <c r="G8" s="1">
        <v>674</v>
      </c>
      <c r="H8" s="1">
        <v>680</v>
      </c>
    </row>
    <row r="9" spans="3:8" x14ac:dyDescent="0.15">
      <c r="C9" s="1" t="s">
        <v>10</v>
      </c>
      <c r="D9" s="1"/>
      <c r="E9" s="1">
        <v>696</v>
      </c>
      <c r="F9" s="1">
        <v>680</v>
      </c>
      <c r="G9" s="1">
        <v>674</v>
      </c>
      <c r="H9" s="1">
        <v>682</v>
      </c>
    </row>
    <row r="10" spans="3:8" x14ac:dyDescent="0.15">
      <c r="C10" s="2" t="s">
        <v>9</v>
      </c>
      <c r="D10" s="2" t="s">
        <v>2</v>
      </c>
      <c r="E10" s="2">
        <v>681</v>
      </c>
      <c r="F10" s="2">
        <v>681</v>
      </c>
      <c r="G10" s="2">
        <v>681</v>
      </c>
      <c r="H10" s="2">
        <v>681</v>
      </c>
    </row>
    <row r="11" spans="3:8" x14ac:dyDescent="0.15">
      <c r="C11" s="1"/>
      <c r="D11" s="1"/>
      <c r="E11" s="1">
        <f>SUM(E6:E10)</f>
        <v>3465</v>
      </c>
      <c r="F11" s="1">
        <f>SUM(F6:F10)</f>
        <v>3432</v>
      </c>
      <c r="G11" s="1">
        <f>SUM(G6:G10)</f>
        <v>3377</v>
      </c>
      <c r="H11" s="1">
        <f>SUM(H6:H10)</f>
        <v>3397</v>
      </c>
    </row>
    <row r="12" spans="3:8" x14ac:dyDescent="0.15">
      <c r="C12" s="1" t="s">
        <v>11</v>
      </c>
      <c r="D12" s="1" t="s">
        <v>1</v>
      </c>
      <c r="E12" s="1">
        <f>E11/5</f>
        <v>693</v>
      </c>
      <c r="F12" s="1">
        <f>F11/5</f>
        <v>686.4</v>
      </c>
      <c r="G12" s="1">
        <f>G11/5</f>
        <v>675.4</v>
      </c>
      <c r="H12" s="1">
        <f>H11/5</f>
        <v>679.4</v>
      </c>
    </row>
    <row r="13" spans="3:8" x14ac:dyDescent="0.15">
      <c r="C13" s="1"/>
      <c r="D13" s="1"/>
      <c r="E13" s="1"/>
      <c r="F13" s="1"/>
      <c r="G13" s="1"/>
      <c r="H13" s="1"/>
    </row>
    <row r="14" spans="3:8" x14ac:dyDescent="0.15">
      <c r="C14" s="1"/>
      <c r="D14" s="1" t="s">
        <v>3</v>
      </c>
      <c r="E14" s="1">
        <f>E10-E12</f>
        <v>-12</v>
      </c>
      <c r="F14" s="1">
        <f>F10-F12</f>
        <v>-5.3999999999999773</v>
      </c>
      <c r="G14" s="1">
        <f>G10-G12</f>
        <v>5.6000000000000227</v>
      </c>
      <c r="H14" s="1">
        <f>H10-H12</f>
        <v>1.6000000000000227</v>
      </c>
    </row>
    <row r="15" spans="3:8" x14ac:dyDescent="0.15">
      <c r="C15" s="1"/>
      <c r="D15" s="1"/>
      <c r="E15" s="1">
        <f>E14/E12</f>
        <v>-1.7316017316017316E-2</v>
      </c>
      <c r="F15" s="1">
        <f>F14/F12</f>
        <v>-7.8671328671328349E-3</v>
      </c>
      <c r="G15" s="1">
        <f>G14/G12</f>
        <v>8.2913828842167952E-3</v>
      </c>
      <c r="H15" s="1">
        <f>H14/H12</f>
        <v>2.3550191345305016E-3</v>
      </c>
    </row>
    <row r="16" spans="3:8" x14ac:dyDescent="0.15">
      <c r="C16" s="1"/>
      <c r="D16" s="1" t="s">
        <v>4</v>
      </c>
      <c r="E16" s="1">
        <f>E15*100*0.9</f>
        <v>-1.5584415584415585</v>
      </c>
      <c r="F16" s="1">
        <f>F15*100*0.9</f>
        <v>-0.70804195804195513</v>
      </c>
      <c r="G16" s="1">
        <f>G15*100*1</f>
        <v>0.82913828842167947</v>
      </c>
      <c r="H16" s="1">
        <f>H15*100*1</f>
        <v>0.23550191345305016</v>
      </c>
    </row>
    <row r="17" spans="3:8" x14ac:dyDescent="0.15">
      <c r="C17" s="1" t="s">
        <v>12</v>
      </c>
      <c r="D17" s="1" t="s">
        <v>0</v>
      </c>
      <c r="E17" s="1">
        <f>40+E16</f>
        <v>38.441558441558442</v>
      </c>
      <c r="F17" s="1">
        <f>40+F16</f>
        <v>39.291958041958047</v>
      </c>
      <c r="G17" s="1">
        <f>40-G16</f>
        <v>39.170861711578318</v>
      </c>
      <c r="H17" s="1">
        <f>40-H16</f>
        <v>39.764498086546951</v>
      </c>
    </row>
  </sheetData>
  <phoneticPr fontId="1" type="noConversion"/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person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锐普智慧</dc:creator>
  <cp:lastModifiedBy>锐普智慧</cp:lastModifiedBy>
  <dcterms:created xsi:type="dcterms:W3CDTF">2018-12-02T07:38:26Z</dcterms:created>
  <dcterms:modified xsi:type="dcterms:W3CDTF">2018-12-02T09:05:06Z</dcterms:modified>
</cp:coreProperties>
</file>